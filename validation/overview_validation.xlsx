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/>
  <mc:AlternateContent xmlns:mc="http://schemas.openxmlformats.org/markup-compatibility/2006">
    <mc:Choice Requires="x15">
      <x15ac:absPath xmlns:x15ac="http://schemas.microsoft.com/office/spreadsheetml/2010/11/ac" url="https://erasmusmc-my.sharepoint.com/personal/a_dietz_1_erasmusmc_nl/Documents/Paper Capacity Shortages Neonatal Care/Data validation/"/>
    </mc:Choice>
  </mc:AlternateContent>
  <xr:revisionPtr revIDLastSave="186" documentId="11_0B1D56BE9CDCCE836B02CE7A5FB0D4A9BBFD1C62" xr6:coauthVersionLast="47" xr6:coauthVersionMax="47" xr10:uidLastSave="{76C91CDA-FB0F-A641-943B-1BEBB4DB6674}"/>
  <bookViews>
    <workbookView xWindow="0" yWindow="760" windowWidth="30240" windowHeight="1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P9" i="1"/>
</calcChain>
</file>

<file path=xl/sharedStrings.xml><?xml version="1.0" encoding="utf-8"?>
<sst xmlns="http://schemas.openxmlformats.org/spreadsheetml/2006/main" count="41" uniqueCount="27">
  <si>
    <t>Overview</t>
  </si>
  <si>
    <t>Legend</t>
  </si>
  <si>
    <t>Reliable</t>
  </si>
  <si>
    <t>Contested</t>
  </si>
  <si>
    <t>Questionable</t>
  </si>
  <si>
    <t>Difference in beds 2024 compared to 2022</t>
  </si>
  <si>
    <t>Ward Level</t>
  </si>
  <si>
    <t>Data Source</t>
  </si>
  <si>
    <t>admissions</t>
  </si>
  <si>
    <t>patients</t>
  </si>
  <si>
    <t>beds</t>
  </si>
  <si>
    <t>operational beds</t>
  </si>
  <si>
    <t>Average LoS</t>
  </si>
  <si>
    <t>Range of LoS</t>
  </si>
  <si>
    <t>Average Occupany Rate</t>
  </si>
  <si>
    <t>High</t>
  </si>
  <si>
    <t>own registration</t>
  </si>
  <si>
    <t>0.09-80.8</t>
  </si>
  <si>
    <t>0.2-65.9</t>
  </si>
  <si>
    <t>Medium</t>
  </si>
  <si>
    <t>0.15-48.24</t>
  </si>
  <si>
    <t>0.1-44.69</t>
  </si>
  <si>
    <t>1.0-76</t>
  </si>
  <si>
    <t>1.0-71</t>
  </si>
  <si>
    <t>NICU</t>
  </si>
  <si>
    <t>Perined</t>
  </si>
  <si>
    <t>1-140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</si>
</sst>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D6B"/>
        <bgColor indexed="64"/>
      </patternFill>
    </fill>
    <fill>
      <patternFill patternType="solid">
        <fgColor rgb="FFF2636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17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17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D6B"/>
      <color rgb="FFF2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4"/>
  <sheetViews>
    <sheetView showGridLines="0" tabSelected="1" workbookViewId="0">
      <selection activeCell="I27" sqref="I27"/>
    </sheetView>
  </sheetViews>
  <sheetFormatPr baseColWidth="10" defaultColWidth="8.83203125" defaultRowHeight="15" x14ac:dyDescent="0.2"/>
  <cols>
    <col min="1" max="1" width="3.33203125" customWidth="1"/>
    <col min="2" max="2" width="11.5" customWidth="1"/>
    <col min="3" max="3" width="9.33203125" customWidth="1"/>
    <col min="4" max="4" width="10.6640625" customWidth="1"/>
    <col min="5" max="5" width="9.6640625" bestFit="1" customWidth="1"/>
    <col min="6" max="6" width="10.83203125" customWidth="1"/>
    <col min="7" max="7" width="4.83203125" bestFit="1" customWidth="1"/>
    <col min="8" max="8" width="13.5" bestFit="1" customWidth="1"/>
    <col min="9" max="9" width="10" bestFit="1" customWidth="1"/>
    <col min="10" max="10" width="10.6640625" bestFit="1" customWidth="1"/>
    <col min="11" max="11" width="18.33203125" bestFit="1" customWidth="1"/>
    <col min="12" max="12" width="1.33203125" customWidth="1"/>
    <col min="13" max="13" width="9.6640625" bestFit="1" customWidth="1"/>
    <col min="14" max="14" width="7" bestFit="1" customWidth="1"/>
    <col min="15" max="15" width="4.83203125" bestFit="1" customWidth="1"/>
    <col min="16" max="16" width="13.5" bestFit="1" customWidth="1"/>
    <col min="17" max="17" width="10" bestFit="1" customWidth="1"/>
    <col min="18" max="18" width="10.6640625" bestFit="1" customWidth="1"/>
    <col min="19" max="19" width="18.33203125" bestFit="1" customWidth="1"/>
  </cols>
  <sheetData>
    <row r="2" spans="2:19" ht="22" x14ac:dyDescent="0.3">
      <c r="B2" s="1" t="s">
        <v>0</v>
      </c>
      <c r="E2" s="6" t="s">
        <v>1</v>
      </c>
      <c r="F2" s="7" t="s">
        <v>2</v>
      </c>
    </row>
    <row r="3" spans="2:19" x14ac:dyDescent="0.2">
      <c r="F3" s="8" t="s">
        <v>3</v>
      </c>
    </row>
    <row r="4" spans="2:19" ht="32" x14ac:dyDescent="0.2">
      <c r="F4" s="9" t="s">
        <v>4</v>
      </c>
    </row>
    <row r="7" spans="2:19" x14ac:dyDescent="0.2">
      <c r="E7" s="2">
        <v>2023</v>
      </c>
      <c r="F7" s="2"/>
      <c r="G7" s="2"/>
      <c r="H7" s="2"/>
      <c r="I7" s="2"/>
      <c r="J7" s="2"/>
      <c r="K7" s="2"/>
      <c r="L7" s="2"/>
      <c r="M7" s="2">
        <v>2024</v>
      </c>
      <c r="N7" s="2"/>
      <c r="O7" s="2"/>
      <c r="P7" s="2"/>
      <c r="Q7" s="2"/>
      <c r="R7" s="2"/>
      <c r="S7" s="2"/>
    </row>
    <row r="8" spans="2:19" ht="64" x14ac:dyDescent="0.2">
      <c r="B8" s="4" t="s">
        <v>5</v>
      </c>
      <c r="C8" t="s">
        <v>6</v>
      </c>
      <c r="D8" s="4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/>
      <c r="M8" s="2" t="s">
        <v>8</v>
      </c>
      <c r="N8" s="2" t="s">
        <v>9</v>
      </c>
      <c r="O8" s="2" t="s">
        <v>10</v>
      </c>
      <c r="P8" s="2" t="s">
        <v>11</v>
      </c>
      <c r="Q8" s="2" t="s">
        <v>12</v>
      </c>
      <c r="R8" s="2" t="s">
        <v>13</v>
      </c>
      <c r="S8" s="2" t="s">
        <v>14</v>
      </c>
    </row>
    <row r="9" spans="2:19" ht="32" x14ac:dyDescent="0.2">
      <c r="B9">
        <v>-2</v>
      </c>
      <c r="C9" t="s">
        <v>15</v>
      </c>
      <c r="D9" s="4" t="s">
        <v>16</v>
      </c>
      <c r="E9" s="8">
        <v>136</v>
      </c>
      <c r="F9" s="8">
        <v>113</v>
      </c>
      <c r="G9" s="8">
        <v>15</v>
      </c>
      <c r="H9" s="8">
        <v>13.7</v>
      </c>
      <c r="I9" s="8">
        <v>16.8</v>
      </c>
      <c r="J9" s="8" t="s">
        <v>17</v>
      </c>
      <c r="K9" s="10">
        <v>60</v>
      </c>
      <c r="M9" s="8">
        <v>94</v>
      </c>
      <c r="N9" s="8">
        <v>62</v>
      </c>
      <c r="O9" s="8">
        <v>11.5</v>
      </c>
      <c r="P9" s="8">
        <f>(13.6+7.2)/2</f>
        <v>10.4</v>
      </c>
      <c r="Q9" s="8">
        <v>17.7</v>
      </c>
      <c r="R9" s="8" t="s">
        <v>18</v>
      </c>
      <c r="S9" s="10">
        <f>(44+75)/2</f>
        <v>59.5</v>
      </c>
    </row>
    <row r="10" spans="2:19" ht="32" x14ac:dyDescent="0.2">
      <c r="B10">
        <v>-1</v>
      </c>
      <c r="C10" t="s">
        <v>15</v>
      </c>
      <c r="D10" s="5" t="s">
        <v>16</v>
      </c>
      <c r="E10" s="8">
        <v>486</v>
      </c>
      <c r="F10" s="8">
        <v>462</v>
      </c>
      <c r="G10" s="11">
        <v>21</v>
      </c>
      <c r="H10" s="11">
        <v>16</v>
      </c>
      <c r="M10" s="8">
        <v>497</v>
      </c>
      <c r="N10" s="8">
        <v>475</v>
      </c>
      <c r="O10" s="11">
        <v>21</v>
      </c>
      <c r="P10" s="11">
        <v>16</v>
      </c>
    </row>
    <row r="11" spans="2:19" ht="32" x14ac:dyDescent="0.2">
      <c r="B11">
        <v>3</v>
      </c>
      <c r="C11" t="s">
        <v>19</v>
      </c>
      <c r="D11" s="5" t="s">
        <v>16</v>
      </c>
      <c r="E11" s="8">
        <v>223</v>
      </c>
      <c r="F11" s="8">
        <v>216</v>
      </c>
      <c r="G11" s="11">
        <v>13</v>
      </c>
      <c r="H11" s="11">
        <v>13</v>
      </c>
      <c r="I11" s="8">
        <v>7.25</v>
      </c>
      <c r="J11" s="8" t="s">
        <v>20</v>
      </c>
      <c r="M11" s="8">
        <v>313</v>
      </c>
      <c r="N11" s="8">
        <v>295</v>
      </c>
      <c r="O11" s="11">
        <v>13</v>
      </c>
      <c r="P11" s="11">
        <v>13</v>
      </c>
      <c r="Q11" s="8">
        <v>4.93</v>
      </c>
      <c r="R11" s="8" t="s">
        <v>21</v>
      </c>
    </row>
    <row r="12" spans="2:19" ht="32" x14ac:dyDescent="0.2">
      <c r="B12">
        <v>-1</v>
      </c>
      <c r="C12" t="s">
        <v>15</v>
      </c>
      <c r="D12" s="5" t="s">
        <v>16</v>
      </c>
      <c r="E12" s="11">
        <v>281</v>
      </c>
      <c r="F12" s="11">
        <v>260</v>
      </c>
      <c r="H12" s="8">
        <v>15</v>
      </c>
      <c r="I12" s="11">
        <v>12.36</v>
      </c>
      <c r="J12" s="11" t="s">
        <v>22</v>
      </c>
      <c r="M12" s="11">
        <v>206</v>
      </c>
      <c r="N12" s="11">
        <v>197</v>
      </c>
      <c r="P12" s="8">
        <v>14</v>
      </c>
      <c r="Q12" s="11">
        <v>10.41</v>
      </c>
      <c r="R12" s="12" t="s">
        <v>23</v>
      </c>
    </row>
    <row r="13" spans="2:19" ht="32" x14ac:dyDescent="0.2">
      <c r="B13">
        <v>3</v>
      </c>
      <c r="C13" t="s">
        <v>19</v>
      </c>
      <c r="D13" s="5" t="s">
        <v>16</v>
      </c>
      <c r="P13" s="11">
        <v>14</v>
      </c>
      <c r="R13" s="3"/>
    </row>
    <row r="14" spans="2:19" x14ac:dyDescent="0.2">
      <c r="B14">
        <v>0</v>
      </c>
      <c r="C14" t="s">
        <v>24</v>
      </c>
      <c r="D14" t="s">
        <v>25</v>
      </c>
      <c r="E14" s="11">
        <v>534</v>
      </c>
      <c r="F14" s="11"/>
      <c r="G14" s="11"/>
      <c r="H14" s="11">
        <v>23</v>
      </c>
      <c r="I14" s="11">
        <v>13.6</v>
      </c>
      <c r="J14" s="11" t="s">
        <v>26</v>
      </c>
      <c r="K14" s="11">
        <v>92</v>
      </c>
      <c r="P14" s="11">
        <v>23</v>
      </c>
      <c r="S14" s="1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Alexander Dietz</cp:lastModifiedBy>
  <cp:revision/>
  <dcterms:created xsi:type="dcterms:W3CDTF">2025-03-03T20:13:48Z</dcterms:created>
  <dcterms:modified xsi:type="dcterms:W3CDTF">2025-04-02T15:28:17Z</dcterms:modified>
  <cp:category/>
  <cp:contentStatus/>
</cp:coreProperties>
</file>